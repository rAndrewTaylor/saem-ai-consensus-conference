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WG1 - Clinical Practice" sheetId="2" r:id="rId5"/>
    <sheet state="visible" name="WG2 - Infrastructure Data" sheetId="3" r:id="rId6"/>
    <sheet state="visible" name="WG3 - Education Training" sheetId="4" r:id="rId7"/>
    <sheet state="visible" name="WG4 - Human-AI Interaction" sheetId="5" r:id="rId8"/>
    <sheet state="visible" name="WG5 - Ethics Legal" sheetId="6" r:id="rId9"/>
  </sheets>
  <definedNames/>
  <calcPr/>
  <extLst>
    <ext uri="GoogleSheetsCustomDataVersion2">
      <go:sheetsCustomData xmlns:go="http://customooxmlschemas.google.com/" r:id="rId10" roundtripDataChecksum="JL8ZeRpCA/yQoGaa/e6B6tRRUCKldt+V40EYkOsqPKM="/>
    </ext>
  </extLst>
</workbook>
</file>

<file path=xl/sharedStrings.xml><?xml version="1.0" encoding="utf-8"?>
<sst xmlns="http://schemas.openxmlformats.org/spreadsheetml/2006/main" count="560" uniqueCount="260">
  <si>
    <t>SAEM 2026 AI Consensus Conference — Working Group Roster</t>
  </si>
  <si>
    <t>Master Participant Tracker | Conference: May 21, 2026 | Atlanta Marriott Marquis</t>
  </si>
  <si>
    <t>Last verified: April 5, 2026 (from Slack #co-leads channel)</t>
  </si>
  <si>
    <t>INSTRUCTIONS: Co-Leads — please fill in your working group's tab with member details. Send completed roster to Hope Duncan.</t>
  </si>
  <si>
    <t>Working Group</t>
  </si>
  <si>
    <t>Co-Lead 1</t>
  </si>
  <si>
    <t>Co-Lead 2</t>
  </si>
  <si>
    <t>Co-Lead Status</t>
  </si>
  <si>
    <t>Members Confirmed</t>
  </si>
  <si>
    <t>Target</t>
  </si>
  <si>
    <t>Recruitment Deadline</t>
  </si>
  <si>
    <t>WG1: Clinical Practice &amp; Operations</t>
  </si>
  <si>
    <t>Rohit Sangal</t>
  </si>
  <si>
    <t>Brian Patterson</t>
  </si>
  <si>
    <t>Both Confirmed</t>
  </si>
  <si>
    <t>8-10</t>
  </si>
  <si>
    <t>Apr 18</t>
  </si>
  <si>
    <t>WG2: Infrastructure &amp; Data</t>
  </si>
  <si>
    <t>Fran Riley</t>
  </si>
  <si>
    <t xml:space="preserve">Ethan Abbott </t>
  </si>
  <si>
    <t>1 Confirmed, 1 Pending</t>
  </si>
  <si>
    <t>WG3: Education &amp; Training</t>
  </si>
  <si>
    <t>Christian Rose</t>
  </si>
  <si>
    <t>Carl Preiksaitis</t>
  </si>
  <si>
    <t>1 Confirmed, 1 Likely</t>
  </si>
  <si>
    <t>WG4: Human-AI Interaction</t>
  </si>
  <si>
    <t>Maame Yiadom</t>
  </si>
  <si>
    <t>Tehreem Rehman</t>
  </si>
  <si>
    <t>WG5: Ethics, Legal &amp; Societal</t>
  </si>
  <si>
    <t>Arwen Declan</t>
  </si>
  <si>
    <t>Kennedy Hall</t>
  </si>
  <si>
    <t>TOTAL</t>
  </si>
  <si>
    <t>40-50</t>
  </si>
  <si>
    <t>People Active on Slack (as of Apr 5)</t>
  </si>
  <si>
    <t>Name</t>
  </si>
  <si>
    <t>Role</t>
  </si>
  <si>
    <t>Notes</t>
  </si>
  <si>
    <t>WG1 Co-Lead</t>
  </si>
  <si>
    <t>Joined Apr 2</t>
  </si>
  <si>
    <t>WG2 Co-Lead</t>
  </si>
  <si>
    <t>Ethan Abbott</t>
  </si>
  <si>
    <t>WG2 Member</t>
  </si>
  <si>
    <t>WG5 Co-Lead</t>
  </si>
  <si>
    <t>Joined Apr 2; uploaded WG5 final PDF Apr 3</t>
  </si>
  <si>
    <t>WG4 Co-Lead</t>
  </si>
  <si>
    <t>Joined Apr 4</t>
  </si>
  <si>
    <t>Moira E. Smith</t>
  </si>
  <si>
    <t>Planning Committee</t>
  </si>
  <si>
    <t>Andrew Muck</t>
  </si>
  <si>
    <t>Matt Trowbridge</t>
  </si>
  <si>
    <t>Joined Apr 3</t>
  </si>
  <si>
    <t>Thomas Hartka</t>
  </si>
  <si>
    <t>NOT Yet on Slack (need follow-up)</t>
  </si>
  <si>
    <t>Confirmed but not on Slack yet</t>
  </si>
  <si>
    <t>WG3 Co-Lead (likely)</t>
  </si>
  <si>
    <t>Not confirmed; not on Slack</t>
  </si>
  <si>
    <t>WG3 Co-Lead</t>
  </si>
  <si>
    <t>Confirmed (Apr 2) but not on Slack yet</t>
  </si>
  <si>
    <t>Phil Jarret</t>
  </si>
  <si>
    <t>Confirmed as member but not on Slack yet</t>
  </si>
  <si>
    <t>Institution</t>
  </si>
  <si>
    <t>Email</t>
  </si>
  <si>
    <t>Andrew Taylor, MD MHS</t>
  </si>
  <si>
    <t>Conference Chair</t>
  </si>
  <si>
    <t>University of Virginia</t>
  </si>
  <si>
    <t>kqc5mk@uvahealth.org</t>
  </si>
  <si>
    <t>muck@virginia.edu</t>
  </si>
  <si>
    <t>Matt Trowbridge, MD MPH</t>
  </si>
  <si>
    <t>Hope Duncan</t>
  </si>
  <si>
    <t>Administrative Support</t>
  </si>
  <si>
    <t>Key Dates</t>
  </si>
  <si>
    <t>Apr 5-18</t>
  </si>
  <si>
    <t>Co-leads recruit 8-10 members per WG</t>
  </si>
  <si>
    <t>Apr 14</t>
  </si>
  <si>
    <t>Distribute evidence briefs + literature reviews to all WG members</t>
  </si>
  <si>
    <t>Apr 19-20</t>
  </si>
  <si>
    <t>Meeting 1: Kickoff (all 5 WGs)</t>
  </si>
  <si>
    <t>Apr 20-25</t>
  </si>
  <si>
    <t>Async question development</t>
  </si>
  <si>
    <t>Apr 25-May 2</t>
  </si>
  <si>
    <t>Delphi Round 1</t>
  </si>
  <si>
    <t>May 2-3</t>
  </si>
  <si>
    <t>Meeting 2: Mid-Point Review</t>
  </si>
  <si>
    <t>May 3-9</t>
  </si>
  <si>
    <t>Delphi Round 2</t>
  </si>
  <si>
    <t>May 10-11</t>
  </si>
  <si>
    <t>Meeting 3: Final Prep</t>
  </si>
  <si>
    <t>May 12</t>
  </si>
  <si>
    <t>2-page summaries due</t>
  </si>
  <si>
    <t>May 21</t>
  </si>
  <si>
    <t>CONSENSUS CONFERENCE DAY</t>
  </si>
  <si>
    <t>WG1: AI in Clinical Practice and Operations</t>
  </si>
  <si>
    <t>Conference Pillar: Technology | Slack: #wg1-clinical-practice-ops</t>
  </si>
  <si>
    <t>Both co-leads confirmed. Rohit joined Slack Apr 2. Slack: #wg1-clinical-practice-ops</t>
  </si>
  <si>
    <t>Credentials</t>
  </si>
  <si>
    <t>Expertise / Notes</t>
  </si>
  <si>
    <t>Status</t>
  </si>
  <si>
    <t>Co-Lead</t>
  </si>
  <si>
    <t>Clinical AI, decision support</t>
  </si>
  <si>
    <t>Confirmed</t>
  </si>
  <si>
    <t>MD</t>
  </si>
  <si>
    <t>Clinical AI, predictive analytics</t>
  </si>
  <si>
    <t>Member</t>
  </si>
  <si>
    <t>Diane Kuhn</t>
  </si>
  <si>
    <t>Indiana University / Regenstrief Institute</t>
  </si>
  <si>
    <t>dmkuhn08@gmail.com</t>
  </si>
  <si>
    <t>Biomedical Informatics, Emergency Physician</t>
  </si>
  <si>
    <t>WG1 - good</t>
  </si>
  <si>
    <t>Melanie Molina</t>
  </si>
  <si>
    <t>MD, MAS</t>
  </si>
  <si>
    <t>University of California, San Francisco</t>
  </si>
  <si>
    <t>melaniefmolina@gmail.com</t>
  </si>
  <si>
    <t>Asst Prof of EM</t>
  </si>
  <si>
    <t>Brent "Jason" Theiling</t>
  </si>
  <si>
    <t>MD, MS, MSQM, FACEP, FAMPA</t>
  </si>
  <si>
    <t>Duke Emergency Medicine, Duke Life Flight</t>
  </si>
  <si>
    <t>jason.theiling@duke.edu</t>
  </si>
  <si>
    <t>Hoping he'll move easily to WG3</t>
  </si>
  <si>
    <t>William-May "Bo" Stubblefield</t>
  </si>
  <si>
    <t>MD, MPH</t>
  </si>
  <si>
    <t>Vanderbilt University Medical Center, Dept of EM</t>
  </si>
  <si>
    <t>william-may.b.stubblefield@vumc.org</t>
  </si>
  <si>
    <t>Chinweoke "Chinwe" Osigwe</t>
  </si>
  <si>
    <t>Stanford Health Care</t>
  </si>
  <si>
    <t>cco2027@stanford.edu</t>
  </si>
  <si>
    <t>in other group</t>
  </si>
  <si>
    <t>Sarah Tehranisa</t>
  </si>
  <si>
    <t>University of Michigan</t>
  </si>
  <si>
    <t>tochman@med.umich.edu</t>
  </si>
  <si>
    <t>Lauren Siewny</t>
  </si>
  <si>
    <t>MD, MSQM</t>
  </si>
  <si>
    <t>Duke University Hospital</t>
  </si>
  <si>
    <t>lauren.siewny@duke.edu</t>
  </si>
  <si>
    <t>Susan Gaeta</t>
  </si>
  <si>
    <t>University of Texas, MD Anderson Cancer Center</t>
  </si>
  <si>
    <t>sgaeta@mdanderson.org</t>
  </si>
  <si>
    <t>Edward Barthell</t>
  </si>
  <si>
    <t>MD, MS, FACEP</t>
  </si>
  <si>
    <t>ACEP</t>
  </si>
  <si>
    <t>ebarthell@acep.org</t>
  </si>
  <si>
    <t>DaMarcus Baymon</t>
  </si>
  <si>
    <t>Brigham and Women's Hospital, Harvard Medical School</t>
  </si>
  <si>
    <t>dbaymon@mgb.org</t>
  </si>
  <si>
    <t>Senior Clinical Director of the Emergency Department at Brigham and Women’s Hospital and Instructor at Harvard Medical School.</t>
  </si>
  <si>
    <t>Angelica Rego</t>
  </si>
  <si>
    <t>Maine Medical Center, Tufts University School of Medicine</t>
  </si>
  <si>
    <t>Angelica.Rego@mainehealth.org</t>
  </si>
  <si>
    <t>wg2</t>
  </si>
  <si>
    <t>Cristiana Baloescu</t>
  </si>
  <si>
    <t>Yale University School of Medicine</t>
  </si>
  <si>
    <t>cristiana.baloescu@yale.edu</t>
  </si>
  <si>
    <t>Nick Tsipis</t>
  </si>
  <si>
    <t>Virginia Tech Carilion School of Medicine</t>
  </si>
  <si>
    <t>netsipis@carilionclinic.org</t>
  </si>
  <si>
    <t>Chris Kabrhel</t>
  </si>
  <si>
    <t>ckabrhel@mgb.org</t>
  </si>
  <si>
    <t>Deborah Dircks</t>
  </si>
  <si>
    <t>MD, MSc, MBA</t>
  </si>
  <si>
    <t>UT Southwestern Medical Center</t>
  </si>
  <si>
    <t>Deborah.Diercks@UTSouthwestern.edu</t>
  </si>
  <si>
    <t>TOTAL MEMBERS:</t>
  </si>
  <si>
    <t>Target: 10-12 (incl. co-leads)</t>
  </si>
  <si>
    <t>Backup candidates: Steven Horng, Scott Levin, David Beiser</t>
  </si>
  <si>
    <t>Recruitment Checklist (aim for diversity across these dimensions):</t>
  </si>
  <si>
    <t>[ ]  At least 1 deep subject matter expert in this domain</t>
  </si>
  <si>
    <t>[ ]  At least 1 active clinical emergency physician</t>
  </si>
  <si>
    <t>[ ]  At least 1 methodological/technical expert (informatics, data science, HSR, legal/policy)</t>
  </si>
  <si>
    <t>[ ]  At least 1 early-career member (fellow, junior faculty, or senior resident)</t>
  </si>
  <si>
    <t>[ ]  Diversity of institution, geography, gender, and background</t>
  </si>
  <si>
    <t>WG2: AI Technology — Infrastructure and Data Ecosystems</t>
  </si>
  <si>
    <t>Conference Pillar: Technology | Slack: #wg2-infrastructure-data</t>
  </si>
  <si>
    <t>Fran Riley confirmed as Co-Lead 1 (joined Slack Apr 2). Co-Lead 2 still TBD. Phil Jarret and Ethan Abbott confirmed as members. Slack: #wg2-infrastructure-data</t>
  </si>
  <si>
    <t>Arwen notes</t>
  </si>
  <si>
    <t>Infrastructure, data systems</t>
  </si>
  <si>
    <t>DO, MSCR</t>
  </si>
  <si>
    <t xml:space="preserve">Icahn School of Medicine at Mount Sinai </t>
  </si>
  <si>
    <t>ethan.abbott@mountsinai.org</t>
  </si>
  <si>
    <t>Candidates: Phil Jarret / DJ Apakam / Ethan Abbott</t>
  </si>
  <si>
    <t>PENDING</t>
  </si>
  <si>
    <t>Drew Birrenkott</t>
  </si>
  <si>
    <t>MD, DPhil</t>
  </si>
  <si>
    <t>Mass General Brigham</t>
  </si>
  <si>
    <t>dbirrenkott@mgb.org</t>
  </si>
  <si>
    <t>Don Wright</t>
  </si>
  <si>
    <t>Yale</t>
  </si>
  <si>
    <t>Jim McClay</t>
  </si>
  <si>
    <t>better fit here than WG3?</t>
  </si>
  <si>
    <t>Co-Lead 2 candidates: Phil Jarret, DJ Apakam, Ethan Abbott</t>
  </si>
  <si>
    <t>WG3: AI Education, Training, and Competency Development</t>
  </si>
  <si>
    <t>Conference Pillar: Training | Slack: #wg3-education-training</t>
  </si>
  <si>
    <t>Christian Rose confirmed. Carl Preiksaitis listed as 'likely'. Nicholas Genes was original candidate, replaced by Carl. Slack: #wg3-education-training</t>
  </si>
  <si>
    <t>Stanford</t>
  </si>
  <si>
    <t>Informatics fellowship</t>
  </si>
  <si>
    <t>Likely</t>
  </si>
  <si>
    <t>Elspeth Pearce</t>
  </si>
  <si>
    <t>University of Kansas</t>
  </si>
  <si>
    <t>epearce@kumc.edu</t>
  </si>
  <si>
    <t>APD, Didactics, Sims, Clinical Curriculums</t>
  </si>
  <si>
    <t>James McClay</t>
  </si>
  <si>
    <t>MD, MS, FACEP, FAMIA</t>
  </si>
  <si>
    <t>University of Missouri School of Medicine</t>
  </si>
  <si>
    <t>jcmwfn@health.missouri.edu</t>
  </si>
  <si>
    <t>Professor, Biomedical Informatics, Biostatistics, and Medical Epidemiology (BBME), Professor and Informatics Director, Emergency Medicine, Director, Center for Biomedical Informatics, Chief Research Informatics Officer</t>
  </si>
  <si>
    <t>could move to infrastructure data</t>
  </si>
  <si>
    <t>Neehar Kundurti</t>
  </si>
  <si>
    <t>MD, FAAP, FAAEM</t>
  </si>
  <si>
    <t>LSU School of Medicine, Tulane School of Medicine, Manning Family Childrens</t>
  </si>
  <si>
    <t>nkundurti@tulane.edu, neehar.kundurti@lcmchealth.org, nkundu@lsuhsc.edu</t>
  </si>
  <si>
    <t>Cassandra Mackey</t>
  </si>
  <si>
    <t>MD, FACEP</t>
  </si>
  <si>
    <t>UMass Chan Medical School</t>
  </si>
  <si>
    <t>cassandralnewburg@gmail.com</t>
  </si>
  <si>
    <t>WG3 or WG4?</t>
  </si>
  <si>
    <t>Backup co-lead candidates: Michael Gottlieb (Rush/ABEM), Brock Daniels (Weill Cornell), Nicholas Genes (NYU)</t>
  </si>
  <si>
    <t>WG4: Human-AI Interaction and the Perception of Self</t>
  </si>
  <si>
    <t>Conference Pillar: Self | Slack: #wg4-human-ai-interaction</t>
  </si>
  <si>
    <t>Both co-leads confirmed. Tehreem joined Slack Apr 4. WG4 participates in TWO cross-pollination sessions (with WG3 and WG5). Slack: #wg4-human-ai-interaction</t>
  </si>
  <si>
    <t>Arwen Notes</t>
  </si>
  <si>
    <t>Human-AI interaction, clinical decision-making</t>
  </si>
  <si>
    <t>Human-AI interaction</t>
  </si>
  <si>
    <t>Aasim Padela</t>
  </si>
  <si>
    <t>MD, MSc, FACEP</t>
  </si>
  <si>
    <t>Medical College of Wisconsin / Institue for Health &amp; Humanity</t>
  </si>
  <si>
    <t>apadela@mcw.edu</t>
  </si>
  <si>
    <t>Prof and VC Research &amp; Scholarship, Dept of EM; Dir, RAPID-EM Research Fellow; Prof Bioethics and Medical Humanities</t>
  </si>
  <si>
    <t>WG3 or WG4</t>
  </si>
  <si>
    <t>Woosuk Seo</t>
  </si>
  <si>
    <t>woosuk.seo@yale.edu</t>
  </si>
  <si>
    <t>confirmed</t>
  </si>
  <si>
    <t>Ted Melnick</t>
  </si>
  <si>
    <t>edward.melnick@yale.edu</t>
  </si>
  <si>
    <t>confirmed, partial/supporting role with woosuk</t>
  </si>
  <si>
    <t>WG5: Ethical, Legal, and Societal Implications</t>
  </si>
  <si>
    <t>Conference Pillar: Society | Slack: #wg5-ethics-legal-society</t>
  </si>
  <si>
    <t>Kennedy Hall confirmed as Co-Lead 2 (Apr 2 update), replacing Molly Jeffery. Arwen joined Slack Apr 2 and uploaded WG5's last PDF. Slack: #wg5-ethics-legal-society</t>
  </si>
  <si>
    <t>AD - removed Matt DeCamp, added a few names, crossing out people who are on other committees. 4/8/26.</t>
  </si>
  <si>
    <t>Ethical dimensions of AI, diagnostic error</t>
  </si>
  <si>
    <t>Yohan Sumathipala</t>
  </si>
  <si>
    <t>yohan123.work@gmail.com</t>
  </si>
  <si>
    <t>João Vissoci</t>
  </si>
  <si>
    <t>EM PhD</t>
  </si>
  <si>
    <t>Duke</t>
  </si>
  <si>
    <r>
      <rPr>
        <rFont val="Arial, sans-serif"/>
        <color rgb="FF1155CC"/>
        <sz val="11.0"/>
        <u/>
      </rPr>
      <t>jnv4@duke.edu</t>
    </r>
  </si>
  <si>
    <t>Ken Iserson</t>
  </si>
  <si>
    <t>Marta Rowh</t>
  </si>
  <si>
    <t>Emory</t>
  </si>
  <si>
    <r>
      <rPr>
        <rFont val="&quot;Segoe UI&quot;, &quot;Segoe UI Web (West European)&quot;, -apple-system, BlinkMacSystemFont, Roboto, &quot;Helvetica Neue&quot;, sans-serif"/>
        <color rgb="FF1155CC"/>
        <sz val="11.0"/>
        <u/>
      </rPr>
      <t>marta.rowh@emory.edu</t>
    </r>
  </si>
  <si>
    <t>Daniel Buckland</t>
  </si>
  <si>
    <t>WI</t>
  </si>
  <si>
    <r>
      <rPr>
        <rFont val="&quot;Segoe UI&quot;, &quot;Segoe UI Web (West European)&quot;, -apple-system, BlinkMacSystemFont, Roboto, &quot;Helvetica Neue&quot;, sans-serif"/>
        <strike/>
        <color rgb="FF1155CC"/>
        <sz val="11.0"/>
      </rPr>
      <t>dbuckland@gmail.com</t>
    </r>
  </si>
  <si>
    <t>Tricia Smith</t>
  </si>
  <si>
    <t>Jen Newberry</t>
  </si>
  <si>
    <t>Josh Lesko</t>
  </si>
  <si>
    <t>Laura Walker</t>
  </si>
  <si>
    <t>Michelle Wilson</t>
  </si>
  <si>
    <t xml:space="preserve">MD </t>
  </si>
  <si>
    <t>University of Kansas Health System</t>
  </si>
  <si>
    <t>mwilson21@kumc.edu</t>
  </si>
  <si>
    <t>Not in any other groups, I can reach out to her</t>
  </si>
  <si>
    <t>Original candidates who declined/replaced: Molly Jeffery. Backups: Jared Anderson (Brown), Don Wright (Yale)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</si>
</sst>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6.0"/>
      <color rgb="FF2F5496"/>
      <name val="Calibri"/>
      <scheme val="minor"/>
    </font>
    <font>
      <sz val="11.0"/>
      <color rgb="FF666666"/>
      <name val="Calibri"/>
      <scheme val="minor"/>
    </font>
    <font>
      <i/>
      <sz val="10.0"/>
      <color rgb="FF999999"/>
      <name val="Calibri"/>
      <scheme val="minor"/>
    </font>
    <font>
      <b/>
      <sz val="11.0"/>
      <color rgb="FFC00000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2F5496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  <font>
      <b/>
      <sz val="14.0"/>
      <color rgb="FF2F5496"/>
      <name val="Calibri"/>
      <scheme val="minor"/>
    </font>
    <font>
      <i/>
      <sz val="10.0"/>
      <color rgb="FF666666"/>
      <name val="Calibri"/>
      <scheme val="minor"/>
    </font>
    <font>
      <i/>
      <sz val="10.0"/>
      <color rgb="FFC00000"/>
      <name val="Calibri"/>
      <scheme val="minor"/>
    </font>
    <font>
      <strike/>
      <sz val="11.0"/>
      <color theme="1"/>
      <name val="Calibri"/>
    </font>
    <font>
      <strike/>
      <color theme="1"/>
      <name val="Calibri"/>
      <scheme val="minor"/>
    </font>
    <font>
      <strike/>
      <sz val="11.0"/>
      <color rgb="FF000000"/>
      <name val="Calibri"/>
    </font>
    <font>
      <sz val="11.0"/>
      <color rgb="FF000000"/>
      <name val="Calibri"/>
    </font>
    <font>
      <b/>
      <sz val="10.0"/>
      <color rgb="FF2F5496"/>
      <name val="Calibri"/>
      <scheme val="minor"/>
    </font>
    <font>
      <i/>
      <sz val="11.0"/>
      <color theme="1"/>
      <name val="Calibri"/>
    </font>
    <font>
      <i/>
      <color theme="1"/>
      <name val="Calibri"/>
      <scheme val="minor"/>
    </font>
    <font>
      <sz val="12.0"/>
      <color rgb="FF242424"/>
      <name val="Aptos"/>
    </font>
    <font>
      <b/>
      <sz val="11.0"/>
      <color theme="1"/>
      <name val="Calibri"/>
    </font>
    <font>
      <b/>
      <sz val="11.0"/>
      <color rgb="FF000000"/>
      <name val="Calibri"/>
    </font>
    <font>
      <u/>
      <sz val="11.0"/>
      <color rgb="FF000000"/>
      <name val="Arial"/>
    </font>
    <font>
      <sz val="10.0"/>
      <color theme="1"/>
      <name val="Inherit"/>
    </font>
    <font>
      <u/>
      <sz val="11.0"/>
      <color rgb="FF242424"/>
      <name val="&quot;Segoe UI&quot;"/>
    </font>
    <font>
      <strike/>
      <sz val="11.0"/>
      <color rgb="FF242424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4" fontId="6" numFmtId="0" xfId="0" applyAlignment="1" applyBorder="1" applyFill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0" fillId="0" fontId="7" numFmtId="0" xfId="0" applyFont="1"/>
    <xf borderId="0" fillId="0" fontId="8" numFmtId="0" xfId="0" applyFont="1"/>
    <xf borderId="1" fillId="6" fontId="9" numFmtId="0" xfId="0" applyBorder="1" applyFill="1" applyFont="1"/>
    <xf borderId="1" fillId="0" fontId="10" numFmtId="0" xfId="0" applyBorder="1" applyFont="1"/>
    <xf borderId="1" fillId="7" fontId="9" numFmtId="0" xfId="0" applyBorder="1" applyFill="1" applyFont="1"/>
    <xf borderId="1" fillId="8" fontId="5" numFmtId="0" xfId="0" applyBorder="1" applyFill="1" applyFont="1"/>
    <xf borderId="1" fillId="9" fontId="6" numFmtId="0" xfId="0" applyBorder="1" applyFill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1" fillId="10" fontId="6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/>
    </xf>
    <xf borderId="1" fillId="0" fontId="15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 shrinkToFit="0" wrapText="1"/>
    </xf>
    <xf borderId="1" fillId="0" fontId="17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wrapText="1"/>
    </xf>
    <xf borderId="0" fillId="0" fontId="19" numFmtId="0" xfId="0" applyFont="1"/>
    <xf borderId="0" fillId="0" fontId="10" numFmtId="0" xfId="0" applyFont="1"/>
    <xf borderId="1" fillId="4" fontId="6" numFmtId="0" xfId="0" applyAlignment="1" applyBorder="1" applyFont="1">
      <alignment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7" fontId="6" numFmtId="0" xfId="0" applyAlignment="1" applyBorder="1" applyFont="1">
      <alignment shrinkToFit="0" vertical="top" wrapText="1"/>
    </xf>
    <xf borderId="1" fillId="0" fontId="20" numFmtId="0" xfId="0" applyAlignment="1" applyBorder="1" applyFont="1">
      <alignment readingOrder="0" shrinkToFit="0" vertical="top" wrapText="1"/>
    </xf>
    <xf borderId="0" fillId="0" fontId="21" numFmtId="0" xfId="0" applyAlignment="1" applyFont="1">
      <alignment readingOrder="0"/>
    </xf>
    <xf borderId="0" fillId="11" fontId="17" numFmtId="0" xfId="0" applyAlignment="1" applyFill="1" applyFont="1">
      <alignment readingOrder="0" shrinkToFit="0" wrapText="1"/>
    </xf>
    <xf borderId="1" fillId="11" fontId="22" numFmtId="0" xfId="0" applyBorder="1" applyFont="1"/>
    <xf borderId="1" fillId="11" fontId="18" numFmtId="0" xfId="0" applyAlignment="1" applyBorder="1" applyFont="1">
      <alignment readingOrder="0"/>
    </xf>
    <xf borderId="0" fillId="0" fontId="18" numFmtId="0" xfId="0" applyAlignment="1" applyFont="1">
      <alignment readingOrder="0" shrinkToFit="0" wrapText="1"/>
    </xf>
    <xf borderId="1" fillId="0" fontId="23" numFmtId="0" xfId="0" applyAlignment="1" applyBorder="1" applyFont="1">
      <alignment shrinkToFit="0" vertical="top" wrapText="1"/>
    </xf>
    <xf borderId="1" fillId="0" fontId="23" numFmtId="0" xfId="0" applyAlignment="1" applyBorder="1" applyFont="1">
      <alignment readingOrder="0" shrinkToFit="0" vertical="top" wrapText="1"/>
    </xf>
    <xf borderId="1" fillId="0" fontId="24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0" numFmtId="0" xfId="0" applyAlignment="1" applyBorder="1" applyFont="1">
      <alignment readingOrder="0"/>
    </xf>
    <xf borderId="1" fillId="11" fontId="25" numFmtId="0" xfId="0" applyAlignment="1" applyBorder="1" applyFont="1">
      <alignment readingOrder="0"/>
    </xf>
    <xf borderId="1" fillId="11" fontId="26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11" fontId="27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0" fontId="16" numFmtId="0" xfId="0" applyBorder="1" applyFont="1"/>
    <xf borderId="1" fillId="11" fontId="28" numFmtId="0" xfId="0" applyAlignment="1" applyBorder="1" applyFont="1">
      <alignment readingOrder="0"/>
    </xf>
    <xf borderId="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jnv4@duke.edu" TargetMode="External"/><Relationship Id="rId2" Type="http://schemas.openxmlformats.org/officeDocument/2006/relationships/hyperlink" Target="mailto:marta.rowh@emory.edu" TargetMode="External"/><Relationship Id="rId3" Type="http://schemas.openxmlformats.org/officeDocument/2006/relationships/hyperlink" Target="mailto:dbuckland@gmail.com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25.0"/>
    <col customWidth="1" min="4" max="4" width="22.0"/>
    <col customWidth="1" min="5" max="5" width="18.0"/>
    <col customWidth="1" min="6" max="6" width="12.0"/>
    <col customWidth="1" min="7" max="7" width="18.0"/>
    <col customWidth="1" min="8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>
      <c r="A8" s="6" t="s">
        <v>11</v>
      </c>
      <c r="B8" s="7" t="s">
        <v>12</v>
      </c>
      <c r="C8" s="7" t="s">
        <v>13</v>
      </c>
      <c r="D8" s="8" t="s">
        <v>14</v>
      </c>
      <c r="E8" s="7">
        <v>0.0</v>
      </c>
      <c r="F8" s="7" t="s">
        <v>15</v>
      </c>
      <c r="G8" s="7" t="s">
        <v>16</v>
      </c>
    </row>
    <row r="9">
      <c r="A9" s="6" t="s">
        <v>17</v>
      </c>
      <c r="B9" s="7" t="s">
        <v>18</v>
      </c>
      <c r="C9" s="9" t="s">
        <v>19</v>
      </c>
      <c r="D9" s="10" t="s">
        <v>20</v>
      </c>
      <c r="E9" s="7">
        <v>2.0</v>
      </c>
      <c r="F9" s="7" t="s">
        <v>15</v>
      </c>
      <c r="G9" s="7" t="s">
        <v>16</v>
      </c>
    </row>
    <row r="10">
      <c r="A10" s="6" t="s">
        <v>21</v>
      </c>
      <c r="B10" s="7" t="s">
        <v>22</v>
      </c>
      <c r="C10" s="7" t="s">
        <v>23</v>
      </c>
      <c r="D10" s="11" t="s">
        <v>24</v>
      </c>
      <c r="E10" s="7">
        <v>0.0</v>
      </c>
      <c r="F10" s="7" t="s">
        <v>15</v>
      </c>
      <c r="G10" s="7" t="s">
        <v>16</v>
      </c>
    </row>
    <row r="11">
      <c r="A11" s="6" t="s">
        <v>25</v>
      </c>
      <c r="B11" s="7" t="s">
        <v>26</v>
      </c>
      <c r="C11" s="7" t="s">
        <v>27</v>
      </c>
      <c r="D11" s="8" t="s">
        <v>14</v>
      </c>
      <c r="E11" s="7">
        <v>0.0</v>
      </c>
      <c r="F11" s="7" t="s">
        <v>15</v>
      </c>
      <c r="G11" s="7" t="s">
        <v>16</v>
      </c>
    </row>
    <row r="12">
      <c r="A12" s="6" t="s">
        <v>28</v>
      </c>
      <c r="B12" s="7" t="s">
        <v>29</v>
      </c>
      <c r="C12" s="7" t="s">
        <v>30</v>
      </c>
      <c r="D12" s="8" t="s">
        <v>14</v>
      </c>
      <c r="E12" s="7">
        <v>0.0</v>
      </c>
      <c r="F12" s="7" t="s">
        <v>15</v>
      </c>
      <c r="G12" s="7" t="s">
        <v>16</v>
      </c>
    </row>
    <row r="13">
      <c r="A13" s="12" t="s">
        <v>31</v>
      </c>
      <c r="E13" s="12">
        <f>SUM(E8:E12)</f>
        <v>2</v>
      </c>
      <c r="F13" s="12" t="s">
        <v>32</v>
      </c>
    </row>
    <row r="15">
      <c r="A15" s="13" t="s">
        <v>33</v>
      </c>
    </row>
    <row r="16">
      <c r="A16" s="14" t="s">
        <v>34</v>
      </c>
      <c r="B16" s="14" t="s">
        <v>35</v>
      </c>
      <c r="C16" s="14" t="s">
        <v>36</v>
      </c>
    </row>
    <row r="17">
      <c r="A17" s="15" t="s">
        <v>12</v>
      </c>
      <c r="B17" s="15" t="s">
        <v>37</v>
      </c>
      <c r="C17" s="15" t="s">
        <v>38</v>
      </c>
    </row>
    <row r="18">
      <c r="A18" s="15" t="s">
        <v>18</v>
      </c>
      <c r="B18" s="15" t="s">
        <v>39</v>
      </c>
      <c r="C18" s="15" t="s">
        <v>38</v>
      </c>
    </row>
    <row r="19">
      <c r="A19" s="15" t="s">
        <v>40</v>
      </c>
      <c r="B19" s="15" t="s">
        <v>41</v>
      </c>
      <c r="C19" s="15" t="s">
        <v>38</v>
      </c>
    </row>
    <row r="20">
      <c r="A20" s="15" t="s">
        <v>29</v>
      </c>
      <c r="B20" s="15" t="s">
        <v>42</v>
      </c>
      <c r="C20" s="15" t="s">
        <v>43</v>
      </c>
    </row>
    <row r="21" ht="15.75" customHeight="1">
      <c r="A21" s="15" t="s">
        <v>27</v>
      </c>
      <c r="B21" s="15" t="s">
        <v>44</v>
      </c>
      <c r="C21" s="15" t="s">
        <v>45</v>
      </c>
    </row>
    <row r="22" ht="15.75" customHeight="1">
      <c r="A22" s="15" t="s">
        <v>46</v>
      </c>
      <c r="B22" s="15" t="s">
        <v>47</v>
      </c>
      <c r="C22" s="15" t="s">
        <v>38</v>
      </c>
    </row>
    <row r="23" ht="15.75" customHeight="1">
      <c r="A23" s="15" t="s">
        <v>48</v>
      </c>
      <c r="B23" s="15" t="s">
        <v>47</v>
      </c>
      <c r="C23" s="15" t="s">
        <v>38</v>
      </c>
    </row>
    <row r="24" ht="15.75" customHeight="1">
      <c r="A24" s="15" t="s">
        <v>49</v>
      </c>
      <c r="B24" s="15" t="s">
        <v>47</v>
      </c>
      <c r="C24" s="15" t="s">
        <v>50</v>
      </c>
    </row>
    <row r="25" ht="15.75" customHeight="1">
      <c r="A25" s="15" t="s">
        <v>51</v>
      </c>
      <c r="B25" s="15" t="s">
        <v>47</v>
      </c>
      <c r="C25" s="15" t="s">
        <v>50</v>
      </c>
    </row>
    <row r="26" ht="15.75" customHeight="1"/>
    <row r="27" ht="15.75" customHeight="1">
      <c r="A27" s="4" t="s">
        <v>52</v>
      </c>
    </row>
    <row r="28" ht="15.75" customHeight="1">
      <c r="A28" s="16" t="s">
        <v>34</v>
      </c>
      <c r="B28" s="16" t="s">
        <v>35</v>
      </c>
      <c r="C28" s="16" t="s">
        <v>36</v>
      </c>
    </row>
    <row r="29" ht="15.75" customHeight="1">
      <c r="A29" s="15" t="s">
        <v>13</v>
      </c>
      <c r="B29" s="15" t="s">
        <v>37</v>
      </c>
      <c r="C29" s="15" t="s">
        <v>53</v>
      </c>
    </row>
    <row r="30" ht="15.75" customHeight="1">
      <c r="A30" s="15" t="s">
        <v>23</v>
      </c>
      <c r="B30" s="15" t="s">
        <v>54</v>
      </c>
      <c r="C30" s="15" t="s">
        <v>55</v>
      </c>
    </row>
    <row r="31" ht="15.75" customHeight="1">
      <c r="A31" s="15" t="s">
        <v>22</v>
      </c>
      <c r="B31" s="15" t="s">
        <v>56</v>
      </c>
      <c r="C31" s="15" t="s">
        <v>53</v>
      </c>
    </row>
    <row r="32" ht="15.75" customHeight="1">
      <c r="A32" s="15" t="s">
        <v>26</v>
      </c>
      <c r="B32" s="15" t="s">
        <v>44</v>
      </c>
      <c r="C32" s="15" t="s">
        <v>53</v>
      </c>
    </row>
    <row r="33" ht="15.75" customHeight="1">
      <c r="A33" s="15" t="s">
        <v>30</v>
      </c>
      <c r="B33" s="15" t="s">
        <v>42</v>
      </c>
      <c r="C33" s="15" t="s">
        <v>57</v>
      </c>
    </row>
    <row r="34" ht="15.75" customHeight="1">
      <c r="A34" s="15" t="s">
        <v>58</v>
      </c>
      <c r="B34" s="15" t="s">
        <v>41</v>
      </c>
      <c r="C34" s="15" t="s">
        <v>59</v>
      </c>
    </row>
    <row r="35" ht="15.75" customHeight="1"/>
    <row r="36" ht="15.75" customHeight="1">
      <c r="A36" s="13" t="s">
        <v>47</v>
      </c>
    </row>
    <row r="37" ht="15.75" customHeight="1">
      <c r="A37" s="17" t="s">
        <v>34</v>
      </c>
      <c r="B37" s="17" t="s">
        <v>35</v>
      </c>
      <c r="C37" s="17" t="s">
        <v>60</v>
      </c>
      <c r="D37" s="17" t="s">
        <v>61</v>
      </c>
    </row>
    <row r="38" ht="15.75" customHeight="1">
      <c r="A38" s="18" t="s">
        <v>62</v>
      </c>
      <c r="B38" s="18" t="s">
        <v>63</v>
      </c>
      <c r="C38" s="18" t="s">
        <v>64</v>
      </c>
      <c r="D38" s="18" t="s">
        <v>65</v>
      </c>
    </row>
    <row r="39" ht="15.75" customHeight="1">
      <c r="A39" s="18" t="s">
        <v>46</v>
      </c>
      <c r="B39" s="18" t="s">
        <v>47</v>
      </c>
      <c r="C39" s="18" t="s">
        <v>64</v>
      </c>
      <c r="D39" s="19"/>
    </row>
    <row r="40" ht="15.75" customHeight="1">
      <c r="A40" s="18" t="s">
        <v>48</v>
      </c>
      <c r="B40" s="18" t="s">
        <v>47</v>
      </c>
      <c r="C40" s="18" t="s">
        <v>64</v>
      </c>
      <c r="D40" s="20" t="s">
        <v>66</v>
      </c>
    </row>
    <row r="41" ht="15.75" customHeight="1">
      <c r="A41" s="18" t="s">
        <v>51</v>
      </c>
      <c r="B41" s="18" t="s">
        <v>47</v>
      </c>
      <c r="C41" s="18" t="s">
        <v>64</v>
      </c>
      <c r="D41" s="19"/>
    </row>
    <row r="42" ht="15.75" customHeight="1">
      <c r="A42" s="18" t="s">
        <v>67</v>
      </c>
      <c r="B42" s="18" t="s">
        <v>47</v>
      </c>
      <c r="C42" s="18" t="s">
        <v>64</v>
      </c>
      <c r="D42" s="19"/>
    </row>
    <row r="43" ht="15.75" customHeight="1">
      <c r="A43" s="18" t="s">
        <v>68</v>
      </c>
      <c r="B43" s="18" t="s">
        <v>69</v>
      </c>
      <c r="C43" s="18" t="s">
        <v>64</v>
      </c>
      <c r="D43" s="19"/>
    </row>
    <row r="44" ht="15.75" customHeight="1"/>
    <row r="45" ht="15.75" customHeight="1">
      <c r="A45" s="13" t="s">
        <v>70</v>
      </c>
    </row>
    <row r="46" ht="15.75" customHeight="1">
      <c r="A46" s="12" t="s">
        <v>71</v>
      </c>
      <c r="B46" s="21" t="s">
        <v>72</v>
      </c>
    </row>
    <row r="47" ht="15.75" customHeight="1">
      <c r="A47" s="12" t="s">
        <v>73</v>
      </c>
      <c r="B47" s="21" t="s">
        <v>74</v>
      </c>
    </row>
    <row r="48" ht="15.75" customHeight="1">
      <c r="A48" s="12" t="s">
        <v>75</v>
      </c>
      <c r="B48" s="21" t="s">
        <v>76</v>
      </c>
    </row>
    <row r="49" ht="15.75" customHeight="1">
      <c r="A49" s="12" t="s">
        <v>77</v>
      </c>
      <c r="B49" s="21" t="s">
        <v>78</v>
      </c>
    </row>
    <row r="50" ht="15.75" customHeight="1">
      <c r="A50" s="12" t="s">
        <v>79</v>
      </c>
      <c r="B50" s="21" t="s">
        <v>80</v>
      </c>
    </row>
    <row r="51" ht="15.75" customHeight="1">
      <c r="A51" s="12" t="s">
        <v>81</v>
      </c>
      <c r="B51" s="21" t="s">
        <v>82</v>
      </c>
    </row>
    <row r="52" ht="15.75" customHeight="1">
      <c r="A52" s="12" t="s">
        <v>83</v>
      </c>
      <c r="B52" s="21" t="s">
        <v>84</v>
      </c>
    </row>
    <row r="53" ht="15.75" customHeight="1">
      <c r="A53" s="12" t="s">
        <v>85</v>
      </c>
      <c r="B53" s="21" t="s">
        <v>86</v>
      </c>
    </row>
    <row r="54" ht="15.75" customHeight="1">
      <c r="A54" s="12" t="s">
        <v>87</v>
      </c>
      <c r="B54" s="21" t="s">
        <v>88</v>
      </c>
    </row>
    <row r="55" ht="15.75" customHeight="1">
      <c r="A55" s="12" t="s">
        <v>89</v>
      </c>
      <c r="B55" s="21" t="s">
        <v>90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3:G3"/>
    <mergeCell ref="A5:G5"/>
    <mergeCell ref="A15:G15"/>
    <mergeCell ref="A27:G27"/>
    <mergeCell ref="A36:G36"/>
    <mergeCell ref="A45:G4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4.0"/>
    <col customWidth="1" min="4" max="4" width="28.0"/>
    <col customWidth="1" min="5" max="5" width="35.0"/>
    <col customWidth="1" min="6" max="6" width="40.0"/>
    <col customWidth="1" min="7" max="7" width="18.0"/>
    <col customWidth="1" min="8" max="26" width="8.71"/>
  </cols>
  <sheetData>
    <row r="1">
      <c r="A1" s="22" t="s">
        <v>91</v>
      </c>
    </row>
    <row r="2">
      <c r="A2" s="23" t="s">
        <v>92</v>
      </c>
    </row>
    <row r="3">
      <c r="A3" s="24" t="s">
        <v>93</v>
      </c>
    </row>
    <row r="5">
      <c r="A5" s="5" t="s">
        <v>35</v>
      </c>
      <c r="B5" s="5" t="s">
        <v>34</v>
      </c>
      <c r="C5" s="5" t="s">
        <v>94</v>
      </c>
      <c r="D5" s="5" t="s">
        <v>60</v>
      </c>
      <c r="E5" s="5" t="s">
        <v>61</v>
      </c>
      <c r="F5" s="5" t="s">
        <v>95</v>
      </c>
      <c r="G5" s="5" t="s">
        <v>96</v>
      </c>
    </row>
    <row r="6">
      <c r="A6" s="25" t="s">
        <v>97</v>
      </c>
      <c r="B6" s="25" t="s">
        <v>12</v>
      </c>
      <c r="C6" s="25"/>
      <c r="D6" s="25"/>
      <c r="E6" s="25"/>
      <c r="F6" s="25" t="s">
        <v>98</v>
      </c>
      <c r="G6" s="25" t="s">
        <v>99</v>
      </c>
    </row>
    <row r="7">
      <c r="A7" s="25" t="s">
        <v>97</v>
      </c>
      <c r="B7" s="25" t="s">
        <v>13</v>
      </c>
      <c r="C7" s="25" t="s">
        <v>100</v>
      </c>
      <c r="D7" s="25"/>
      <c r="E7" s="25"/>
      <c r="F7" s="25" t="s">
        <v>101</v>
      </c>
      <c r="G7" s="25" t="s">
        <v>99</v>
      </c>
    </row>
    <row r="8">
      <c r="A8" s="26" t="s">
        <v>102</v>
      </c>
      <c r="B8" s="27" t="s">
        <v>103</v>
      </c>
      <c r="C8" s="27" t="s">
        <v>100</v>
      </c>
      <c r="D8" s="27" t="s">
        <v>104</v>
      </c>
      <c r="E8" s="27" t="s">
        <v>105</v>
      </c>
      <c r="F8" s="27" t="s">
        <v>106</v>
      </c>
      <c r="G8" s="27" t="s">
        <v>99</v>
      </c>
      <c r="H8" s="28" t="s">
        <v>107</v>
      </c>
    </row>
    <row r="9">
      <c r="A9" s="26" t="s">
        <v>102</v>
      </c>
      <c r="B9" s="27" t="s">
        <v>108</v>
      </c>
      <c r="C9" s="27" t="s">
        <v>109</v>
      </c>
      <c r="D9" s="27" t="s">
        <v>110</v>
      </c>
      <c r="E9" s="27" t="s">
        <v>111</v>
      </c>
      <c r="F9" s="27" t="s">
        <v>112</v>
      </c>
      <c r="G9" s="27" t="s">
        <v>99</v>
      </c>
    </row>
    <row r="10">
      <c r="A10" s="29" t="s">
        <v>102</v>
      </c>
      <c r="B10" s="30" t="s">
        <v>113</v>
      </c>
      <c r="C10" s="30" t="s">
        <v>114</v>
      </c>
      <c r="D10" s="30" t="s">
        <v>115</v>
      </c>
      <c r="E10" s="30" t="s">
        <v>116</v>
      </c>
      <c r="F10" s="29"/>
      <c r="G10" s="30" t="s">
        <v>99</v>
      </c>
      <c r="H10" s="31" t="s">
        <v>117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26" t="s">
        <v>102</v>
      </c>
      <c r="B11" s="27" t="s">
        <v>118</v>
      </c>
      <c r="C11" s="27" t="s">
        <v>119</v>
      </c>
      <c r="D11" s="27" t="s">
        <v>120</v>
      </c>
      <c r="E11" s="27" t="s">
        <v>121</v>
      </c>
      <c r="F11" s="26"/>
      <c r="G11" s="27" t="s">
        <v>99</v>
      </c>
    </row>
    <row r="12">
      <c r="A12" s="29" t="s">
        <v>102</v>
      </c>
      <c r="B12" s="30" t="s">
        <v>122</v>
      </c>
      <c r="C12" s="30" t="s">
        <v>119</v>
      </c>
      <c r="D12" s="30" t="s">
        <v>123</v>
      </c>
      <c r="E12" s="30" t="s">
        <v>124</v>
      </c>
      <c r="F12" s="29"/>
      <c r="G12" s="30" t="s">
        <v>99</v>
      </c>
      <c r="H12" s="31" t="s">
        <v>125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26" t="s">
        <v>102</v>
      </c>
      <c r="B13" s="27" t="s">
        <v>126</v>
      </c>
      <c r="C13" s="27" t="s">
        <v>100</v>
      </c>
      <c r="D13" s="27" t="s">
        <v>127</v>
      </c>
      <c r="E13" s="27" t="s">
        <v>128</v>
      </c>
      <c r="F13" s="26"/>
      <c r="G13" s="27" t="s">
        <v>99</v>
      </c>
    </row>
    <row r="14">
      <c r="A14" s="26" t="s">
        <v>102</v>
      </c>
      <c r="B14" s="27" t="s">
        <v>129</v>
      </c>
      <c r="C14" s="27" t="s">
        <v>130</v>
      </c>
      <c r="D14" s="27" t="s">
        <v>131</v>
      </c>
      <c r="E14" s="27" t="s">
        <v>132</v>
      </c>
      <c r="F14" s="26"/>
      <c r="G14" s="27" t="s">
        <v>99</v>
      </c>
      <c r="H14" s="28" t="s">
        <v>107</v>
      </c>
    </row>
    <row r="15">
      <c r="A15" s="29" t="s">
        <v>102</v>
      </c>
      <c r="B15" s="30" t="s">
        <v>133</v>
      </c>
      <c r="C15" s="30" t="s">
        <v>100</v>
      </c>
      <c r="D15" s="30" t="s">
        <v>134</v>
      </c>
      <c r="E15" s="30" t="s">
        <v>135</v>
      </c>
      <c r="F15" s="29"/>
      <c r="G15" s="30" t="s">
        <v>99</v>
      </c>
      <c r="H15" s="31" t="s">
        <v>125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26" t="s">
        <v>102</v>
      </c>
      <c r="B16" s="27" t="s">
        <v>136</v>
      </c>
      <c r="C16" s="27" t="s">
        <v>137</v>
      </c>
      <c r="D16" s="27" t="s">
        <v>138</v>
      </c>
      <c r="E16" s="27" t="s">
        <v>139</v>
      </c>
      <c r="F16" s="26"/>
      <c r="G16" s="27" t="s">
        <v>99</v>
      </c>
    </row>
    <row r="17">
      <c r="A17" s="29" t="s">
        <v>102</v>
      </c>
      <c r="B17" s="30" t="s">
        <v>140</v>
      </c>
      <c r="C17" s="30" t="s">
        <v>100</v>
      </c>
      <c r="D17" s="30" t="s">
        <v>141</v>
      </c>
      <c r="E17" s="30" t="s">
        <v>142</v>
      </c>
      <c r="F17" s="33" t="s">
        <v>143</v>
      </c>
      <c r="G17" s="30" t="s">
        <v>99</v>
      </c>
      <c r="H17" s="31" t="s">
        <v>125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0" t="s">
        <v>102</v>
      </c>
      <c r="B18" s="30" t="s">
        <v>144</v>
      </c>
      <c r="C18" s="30" t="s">
        <v>100</v>
      </c>
      <c r="D18" s="30" t="s">
        <v>145</v>
      </c>
      <c r="E18" s="30" t="s">
        <v>146</v>
      </c>
      <c r="F18" s="34"/>
      <c r="G18" s="30" t="s">
        <v>99</v>
      </c>
      <c r="H18" s="31" t="s">
        <v>147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27" t="s">
        <v>102</v>
      </c>
      <c r="B19" s="27" t="s">
        <v>148</v>
      </c>
      <c r="C19" s="27" t="s">
        <v>100</v>
      </c>
      <c r="D19" s="27" t="s">
        <v>149</v>
      </c>
      <c r="E19" s="27" t="s">
        <v>150</v>
      </c>
      <c r="F19" s="35"/>
      <c r="G19" s="27" t="s">
        <v>99</v>
      </c>
      <c r="H19" s="28" t="s">
        <v>107</v>
      </c>
    </row>
    <row r="20">
      <c r="A20" s="27" t="s">
        <v>102</v>
      </c>
      <c r="B20" s="27" t="s">
        <v>151</v>
      </c>
      <c r="C20" s="27" t="s">
        <v>119</v>
      </c>
      <c r="D20" s="27" t="s">
        <v>152</v>
      </c>
      <c r="E20" s="27" t="s">
        <v>153</v>
      </c>
      <c r="F20" s="35"/>
      <c r="G20" s="27" t="s">
        <v>99</v>
      </c>
    </row>
    <row r="21">
      <c r="A21" s="27"/>
      <c r="B21" s="27" t="s">
        <v>154</v>
      </c>
      <c r="C21" s="27"/>
      <c r="D21" s="27"/>
      <c r="E21" s="27" t="s">
        <v>155</v>
      </c>
      <c r="F21" s="35"/>
      <c r="G21" s="27"/>
      <c r="H21" s="28"/>
    </row>
    <row r="22">
      <c r="A22" s="30" t="s">
        <v>102</v>
      </c>
      <c r="B22" s="30" t="s">
        <v>156</v>
      </c>
      <c r="C22" s="30" t="s">
        <v>157</v>
      </c>
      <c r="D22" s="30" t="s">
        <v>158</v>
      </c>
      <c r="E22" s="30" t="s">
        <v>159</v>
      </c>
      <c r="F22" s="34"/>
      <c r="G22" s="30" t="s">
        <v>99</v>
      </c>
      <c r="H22" s="31" t="s">
        <v>125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4">
      <c r="A24" s="12" t="s">
        <v>160</v>
      </c>
      <c r="B24" s="12">
        <f>COUNTA(B6:B17)-COUNTBLANK(B6:B17)</f>
        <v>12</v>
      </c>
      <c r="E24" s="21" t="s">
        <v>161</v>
      </c>
    </row>
    <row r="26" ht="15.75" customHeight="1">
      <c r="A26" s="23" t="s">
        <v>162</v>
      </c>
    </row>
    <row r="27" ht="15.75" customHeight="1"/>
    <row r="28" ht="15.75" customHeight="1">
      <c r="A28" s="36" t="s">
        <v>163</v>
      </c>
    </row>
    <row r="29" ht="15.75" customHeight="1">
      <c r="A29" s="37" t="s">
        <v>164</v>
      </c>
    </row>
    <row r="30" ht="15.75" customHeight="1">
      <c r="A30" s="37" t="s">
        <v>165</v>
      </c>
    </row>
    <row r="31" ht="15.75" customHeight="1">
      <c r="A31" s="37" t="s">
        <v>166</v>
      </c>
    </row>
    <row r="32" ht="15.75" customHeight="1">
      <c r="A32" s="37" t="s">
        <v>167</v>
      </c>
    </row>
    <row r="33" ht="15.75" customHeight="1">
      <c r="A33" s="37" t="s">
        <v>168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0">
    <mergeCell ref="A31:G31"/>
    <mergeCell ref="A32:G32"/>
    <mergeCell ref="A33:G33"/>
    <mergeCell ref="A1:G1"/>
    <mergeCell ref="A2:G2"/>
    <mergeCell ref="A3:G3"/>
    <mergeCell ref="A26:G26"/>
    <mergeCell ref="A28:G28"/>
    <mergeCell ref="A29:G29"/>
    <mergeCell ref="A30:G3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4.0"/>
    <col customWidth="1" min="4" max="4" width="28.0"/>
    <col customWidth="1" min="5" max="5" width="35.0"/>
    <col customWidth="1" min="6" max="6" width="40.0"/>
    <col customWidth="1" min="7" max="7" width="18.0"/>
    <col customWidth="1" min="8" max="26" width="8.71"/>
  </cols>
  <sheetData>
    <row r="1">
      <c r="A1" s="22" t="s">
        <v>169</v>
      </c>
    </row>
    <row r="2">
      <c r="A2" s="23" t="s">
        <v>170</v>
      </c>
    </row>
    <row r="3">
      <c r="A3" s="24" t="s">
        <v>171</v>
      </c>
    </row>
    <row r="5">
      <c r="A5" s="5" t="s">
        <v>35</v>
      </c>
      <c r="B5" s="5" t="s">
        <v>34</v>
      </c>
      <c r="C5" s="5" t="s">
        <v>94</v>
      </c>
      <c r="D5" s="5" t="s">
        <v>60</v>
      </c>
      <c r="E5" s="5" t="s">
        <v>61</v>
      </c>
      <c r="F5" s="5" t="s">
        <v>95</v>
      </c>
      <c r="G5" s="5" t="s">
        <v>96</v>
      </c>
      <c r="H5" s="28" t="s">
        <v>172</v>
      </c>
    </row>
    <row r="6">
      <c r="A6" s="25" t="s">
        <v>97</v>
      </c>
      <c r="B6" s="25" t="s">
        <v>18</v>
      </c>
      <c r="C6" s="25"/>
      <c r="D6" s="25"/>
      <c r="E6" s="25"/>
      <c r="F6" s="25" t="s">
        <v>173</v>
      </c>
      <c r="G6" s="25" t="s">
        <v>99</v>
      </c>
    </row>
    <row r="7">
      <c r="A7" s="38" t="s">
        <v>97</v>
      </c>
      <c r="B7" s="39" t="s">
        <v>40</v>
      </c>
      <c r="C7" s="39" t="s">
        <v>174</v>
      </c>
      <c r="D7" s="39" t="s">
        <v>175</v>
      </c>
      <c r="E7" s="39" t="s">
        <v>176</v>
      </c>
      <c r="F7" s="38" t="s">
        <v>177</v>
      </c>
      <c r="G7" s="38" t="s">
        <v>178</v>
      </c>
    </row>
    <row r="8">
      <c r="A8" s="40" t="s">
        <v>102</v>
      </c>
      <c r="B8" s="40" t="s">
        <v>58</v>
      </c>
      <c r="C8" s="40"/>
      <c r="D8" s="40"/>
      <c r="E8" s="40"/>
      <c r="F8" s="40"/>
      <c r="G8" s="40" t="s">
        <v>99</v>
      </c>
    </row>
    <row r="9">
      <c r="A9" s="40" t="s">
        <v>102</v>
      </c>
      <c r="B9" s="40" t="s">
        <v>40</v>
      </c>
      <c r="C9" s="40"/>
      <c r="D9" s="40"/>
      <c r="E9" s="40"/>
      <c r="F9" s="40"/>
      <c r="G9" s="40" t="s">
        <v>99</v>
      </c>
    </row>
    <row r="10">
      <c r="A10" s="26" t="s">
        <v>102</v>
      </c>
      <c r="B10" s="27" t="s">
        <v>179</v>
      </c>
      <c r="C10" s="27" t="s">
        <v>180</v>
      </c>
      <c r="D10" s="27" t="s">
        <v>181</v>
      </c>
      <c r="E10" s="27" t="s">
        <v>182</v>
      </c>
      <c r="F10" s="26"/>
      <c r="G10" s="27" t="s">
        <v>99</v>
      </c>
    </row>
    <row r="11">
      <c r="A11" s="26" t="s">
        <v>102</v>
      </c>
      <c r="B11" s="27" t="s">
        <v>122</v>
      </c>
      <c r="C11" s="27" t="s">
        <v>119</v>
      </c>
      <c r="D11" s="27" t="s">
        <v>123</v>
      </c>
      <c r="E11" s="27" t="s">
        <v>124</v>
      </c>
      <c r="F11" s="26"/>
      <c r="G11" s="27" t="s">
        <v>99</v>
      </c>
    </row>
    <row r="12">
      <c r="A12" s="26" t="s">
        <v>102</v>
      </c>
      <c r="B12" s="27" t="s">
        <v>144</v>
      </c>
      <c r="C12" s="27" t="s">
        <v>100</v>
      </c>
      <c r="D12" s="27" t="s">
        <v>145</v>
      </c>
      <c r="E12" s="27" t="s">
        <v>146</v>
      </c>
      <c r="F12" s="35"/>
      <c r="G12" s="27" t="s">
        <v>99</v>
      </c>
    </row>
    <row r="13">
      <c r="A13" s="26" t="s">
        <v>102</v>
      </c>
      <c r="B13" s="27" t="s">
        <v>183</v>
      </c>
      <c r="C13" s="26"/>
      <c r="D13" s="27" t="s">
        <v>184</v>
      </c>
      <c r="E13" s="26"/>
      <c r="F13" s="26"/>
      <c r="G13" s="26"/>
    </row>
    <row r="14">
      <c r="A14" s="26" t="s">
        <v>102</v>
      </c>
      <c r="B14" s="41" t="s">
        <v>185</v>
      </c>
      <c r="C14" s="26"/>
      <c r="D14" s="26"/>
      <c r="E14" s="26"/>
      <c r="F14" s="26"/>
      <c r="G14" s="26"/>
      <c r="H14" s="42" t="s">
        <v>186</v>
      </c>
    </row>
    <row r="15">
      <c r="A15" s="26" t="s">
        <v>102</v>
      </c>
      <c r="B15" s="26"/>
      <c r="C15" s="26"/>
      <c r="D15" s="26"/>
      <c r="E15" s="26"/>
      <c r="F15" s="26"/>
      <c r="G15" s="26"/>
    </row>
    <row r="16">
      <c r="A16" s="26" t="s">
        <v>102</v>
      </c>
      <c r="B16" s="26"/>
      <c r="C16" s="26"/>
      <c r="D16" s="26"/>
      <c r="E16" s="26"/>
      <c r="F16" s="26"/>
      <c r="G16" s="26"/>
    </row>
    <row r="17">
      <c r="A17" s="26" t="s">
        <v>102</v>
      </c>
      <c r="B17" s="26"/>
      <c r="C17" s="26"/>
      <c r="D17" s="26"/>
      <c r="E17" s="26"/>
      <c r="F17" s="26"/>
      <c r="G17" s="26"/>
    </row>
    <row r="19">
      <c r="A19" s="12" t="s">
        <v>160</v>
      </c>
      <c r="B19" s="12">
        <f>COUNTA(B6:B17)-COUNTBLANK(B6:B17)</f>
        <v>6</v>
      </c>
      <c r="E19" s="21" t="s">
        <v>161</v>
      </c>
    </row>
    <row r="21" ht="15.75" customHeight="1">
      <c r="A21" s="23" t="s">
        <v>187</v>
      </c>
    </row>
    <row r="22" ht="15.75" customHeight="1"/>
    <row r="23" ht="15.75" customHeight="1">
      <c r="A23" s="36" t="s">
        <v>163</v>
      </c>
    </row>
    <row r="24" ht="15.75" customHeight="1">
      <c r="A24" s="37" t="s">
        <v>164</v>
      </c>
    </row>
    <row r="25" ht="15.75" customHeight="1">
      <c r="A25" s="37" t="s">
        <v>165</v>
      </c>
    </row>
    <row r="26" ht="15.75" customHeight="1">
      <c r="A26" s="37" t="s">
        <v>166</v>
      </c>
    </row>
    <row r="27" ht="15.75" customHeight="1">
      <c r="A27" s="37" t="s">
        <v>167</v>
      </c>
    </row>
    <row r="28" ht="15.75" customHeight="1">
      <c r="A28" s="37" t="s">
        <v>168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6:G26"/>
    <mergeCell ref="A27:G27"/>
    <mergeCell ref="A28:G28"/>
    <mergeCell ref="A1:G1"/>
    <mergeCell ref="A2:G2"/>
    <mergeCell ref="A3:G3"/>
    <mergeCell ref="A21:G21"/>
    <mergeCell ref="A23:G23"/>
    <mergeCell ref="A24:G24"/>
    <mergeCell ref="A25:G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4.0"/>
    <col customWidth="1" min="4" max="4" width="28.0"/>
    <col customWidth="1" min="5" max="5" width="35.0"/>
    <col customWidth="1" min="6" max="6" width="40.0"/>
    <col customWidth="1" min="7" max="7" width="18.0"/>
    <col customWidth="1" min="8" max="26" width="8.71"/>
  </cols>
  <sheetData>
    <row r="1">
      <c r="A1" s="22" t="s">
        <v>188</v>
      </c>
    </row>
    <row r="2">
      <c r="A2" s="23" t="s">
        <v>189</v>
      </c>
    </row>
    <row r="3">
      <c r="A3" s="24" t="s">
        <v>190</v>
      </c>
    </row>
    <row r="5">
      <c r="A5" s="5" t="s">
        <v>35</v>
      </c>
      <c r="B5" s="5" t="s">
        <v>34</v>
      </c>
      <c r="C5" s="5" t="s">
        <v>94</v>
      </c>
      <c r="D5" s="5" t="s">
        <v>60</v>
      </c>
      <c r="E5" s="5" t="s">
        <v>61</v>
      </c>
      <c r="F5" s="5" t="s">
        <v>95</v>
      </c>
      <c r="G5" s="5" t="s">
        <v>96</v>
      </c>
      <c r="H5" s="28" t="s">
        <v>172</v>
      </c>
    </row>
    <row r="6">
      <c r="A6" s="25" t="s">
        <v>97</v>
      </c>
      <c r="B6" s="25" t="s">
        <v>22</v>
      </c>
      <c r="C6" s="25"/>
      <c r="D6" s="25" t="s">
        <v>191</v>
      </c>
      <c r="E6" s="25"/>
      <c r="F6" s="25" t="s">
        <v>192</v>
      </c>
      <c r="G6" s="25" t="s">
        <v>99</v>
      </c>
    </row>
    <row r="7">
      <c r="A7" s="38" t="s">
        <v>97</v>
      </c>
      <c r="B7" s="38" t="s">
        <v>23</v>
      </c>
      <c r="C7" s="38"/>
      <c r="D7" s="38"/>
      <c r="E7" s="38"/>
      <c r="F7" s="38"/>
      <c r="G7" s="38" t="s">
        <v>193</v>
      </c>
    </row>
    <row r="8">
      <c r="A8" s="26" t="s">
        <v>102</v>
      </c>
      <c r="B8" s="27" t="s">
        <v>194</v>
      </c>
      <c r="C8" s="27" t="s">
        <v>100</v>
      </c>
      <c r="D8" s="27" t="s">
        <v>195</v>
      </c>
      <c r="E8" s="27" t="s">
        <v>196</v>
      </c>
      <c r="F8" s="27" t="s">
        <v>197</v>
      </c>
      <c r="G8" s="27" t="s">
        <v>99</v>
      </c>
    </row>
    <row r="9">
      <c r="A9" s="29" t="s">
        <v>102</v>
      </c>
      <c r="B9" s="30" t="s">
        <v>198</v>
      </c>
      <c r="C9" s="30" t="s">
        <v>199</v>
      </c>
      <c r="D9" s="30" t="s">
        <v>200</v>
      </c>
      <c r="E9" s="30" t="s">
        <v>201</v>
      </c>
      <c r="F9" s="43" t="s">
        <v>202</v>
      </c>
      <c r="G9" s="30" t="s">
        <v>99</v>
      </c>
      <c r="H9" s="31" t="s">
        <v>203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26" t="s">
        <v>102</v>
      </c>
      <c r="B10" s="27" t="s">
        <v>204</v>
      </c>
      <c r="C10" s="27" t="s">
        <v>205</v>
      </c>
      <c r="D10" s="27" t="s">
        <v>206</v>
      </c>
      <c r="E10" s="27" t="s">
        <v>207</v>
      </c>
      <c r="F10" s="44"/>
      <c r="G10" s="27" t="s">
        <v>99</v>
      </c>
    </row>
    <row r="11">
      <c r="A11" s="26" t="s">
        <v>102</v>
      </c>
      <c r="B11" s="27" t="s">
        <v>208</v>
      </c>
      <c r="C11" s="27" t="s">
        <v>209</v>
      </c>
      <c r="D11" s="27" t="s">
        <v>210</v>
      </c>
      <c r="E11" s="27" t="s">
        <v>211</v>
      </c>
      <c r="F11" s="45"/>
      <c r="G11" s="27" t="s">
        <v>99</v>
      </c>
    </row>
    <row r="12">
      <c r="A12" s="26" t="s">
        <v>102</v>
      </c>
      <c r="B12" s="27" t="s">
        <v>140</v>
      </c>
      <c r="C12" s="27" t="s">
        <v>100</v>
      </c>
      <c r="D12" s="27" t="s">
        <v>141</v>
      </c>
      <c r="E12" s="27" t="s">
        <v>142</v>
      </c>
      <c r="F12" s="46" t="s">
        <v>143</v>
      </c>
      <c r="G12" s="27" t="s">
        <v>99</v>
      </c>
    </row>
    <row r="13">
      <c r="A13" s="47" t="s">
        <v>102</v>
      </c>
      <c r="B13" s="48" t="s">
        <v>156</v>
      </c>
      <c r="C13" s="48" t="s">
        <v>157</v>
      </c>
      <c r="D13" s="48" t="s">
        <v>158</v>
      </c>
      <c r="E13" s="48" t="s">
        <v>159</v>
      </c>
      <c r="F13" s="49"/>
      <c r="G13" s="48" t="s">
        <v>99</v>
      </c>
      <c r="H13" s="50" t="s">
        <v>212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26" t="s">
        <v>102</v>
      </c>
      <c r="B14" s="26"/>
      <c r="C14" s="26"/>
      <c r="D14" s="26"/>
      <c r="E14" s="26"/>
      <c r="F14" s="44"/>
      <c r="G14" s="26"/>
    </row>
    <row r="15">
      <c r="A15" s="26" t="s">
        <v>102</v>
      </c>
      <c r="B15" s="26"/>
      <c r="C15" s="26"/>
      <c r="D15" s="26"/>
      <c r="E15" s="26"/>
      <c r="F15" s="45"/>
      <c r="G15" s="26"/>
    </row>
    <row r="16">
      <c r="A16" s="26" t="s">
        <v>102</v>
      </c>
      <c r="B16" s="26"/>
      <c r="C16" s="26"/>
      <c r="D16" s="26"/>
      <c r="E16" s="26"/>
      <c r="F16" s="26"/>
      <c r="G16" s="26"/>
    </row>
    <row r="17">
      <c r="A17" s="26" t="s">
        <v>102</v>
      </c>
      <c r="B17" s="26"/>
      <c r="C17" s="26"/>
      <c r="D17" s="26"/>
      <c r="E17" s="26"/>
      <c r="F17" s="26"/>
      <c r="G17" s="26"/>
    </row>
    <row r="19">
      <c r="A19" s="12" t="s">
        <v>160</v>
      </c>
      <c r="B19" s="12">
        <f>COUNTA(B6:B17)-COUNTBLANK(B6:B17)</f>
        <v>4</v>
      </c>
      <c r="E19" s="21" t="s">
        <v>161</v>
      </c>
    </row>
    <row r="21" ht="15.75" customHeight="1">
      <c r="A21" s="23" t="s">
        <v>213</v>
      </c>
    </row>
    <row r="22" ht="15.75" customHeight="1"/>
    <row r="23" ht="15.75" customHeight="1">
      <c r="A23" s="36" t="s">
        <v>163</v>
      </c>
    </row>
    <row r="24" ht="15.75" customHeight="1">
      <c r="A24" s="37" t="s">
        <v>164</v>
      </c>
    </row>
    <row r="25" ht="15.75" customHeight="1">
      <c r="A25" s="37" t="s">
        <v>165</v>
      </c>
    </row>
    <row r="26" ht="15.75" customHeight="1">
      <c r="A26" s="37" t="s">
        <v>166</v>
      </c>
    </row>
    <row r="27" ht="15.75" customHeight="1">
      <c r="A27" s="37" t="s">
        <v>167</v>
      </c>
    </row>
    <row r="28" ht="15.75" customHeight="1">
      <c r="A28" s="37" t="s">
        <v>168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6:G26"/>
    <mergeCell ref="A27:G27"/>
    <mergeCell ref="A28:G28"/>
    <mergeCell ref="A1:G1"/>
    <mergeCell ref="A2:G2"/>
    <mergeCell ref="A3:G3"/>
    <mergeCell ref="A21:G21"/>
    <mergeCell ref="A23:G23"/>
    <mergeCell ref="A24:G24"/>
    <mergeCell ref="A25:G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4.0"/>
    <col customWidth="1" min="4" max="4" width="28.0"/>
    <col customWidth="1" min="5" max="5" width="35.0"/>
    <col customWidth="1" min="6" max="6" width="40.0"/>
    <col customWidth="1" min="7" max="7" width="18.0"/>
    <col customWidth="1" min="8" max="26" width="8.71"/>
  </cols>
  <sheetData>
    <row r="1">
      <c r="A1" s="22" t="s">
        <v>214</v>
      </c>
    </row>
    <row r="2">
      <c r="A2" s="23" t="s">
        <v>215</v>
      </c>
    </row>
    <row r="3">
      <c r="A3" s="24" t="s">
        <v>216</v>
      </c>
    </row>
    <row r="5">
      <c r="A5" s="5" t="s">
        <v>35</v>
      </c>
      <c r="B5" s="5" t="s">
        <v>34</v>
      </c>
      <c r="C5" s="5" t="s">
        <v>94</v>
      </c>
      <c r="D5" s="5" t="s">
        <v>60</v>
      </c>
      <c r="E5" s="5" t="s">
        <v>61</v>
      </c>
      <c r="F5" s="5" t="s">
        <v>95</v>
      </c>
      <c r="G5" s="5" t="s">
        <v>96</v>
      </c>
      <c r="H5" s="28" t="s">
        <v>217</v>
      </c>
    </row>
    <row r="6">
      <c r="A6" s="25" t="s">
        <v>97</v>
      </c>
      <c r="B6" s="25" t="s">
        <v>26</v>
      </c>
      <c r="C6" s="25"/>
      <c r="D6" s="25"/>
      <c r="E6" s="25"/>
      <c r="F6" s="25" t="s">
        <v>218</v>
      </c>
      <c r="G6" s="25" t="s">
        <v>99</v>
      </c>
    </row>
    <row r="7">
      <c r="A7" s="25" t="s">
        <v>97</v>
      </c>
      <c r="B7" s="25" t="s">
        <v>27</v>
      </c>
      <c r="C7" s="25"/>
      <c r="D7" s="25"/>
      <c r="E7" s="25"/>
      <c r="F7" s="25" t="s">
        <v>219</v>
      </c>
      <c r="G7" s="25" t="s">
        <v>99</v>
      </c>
    </row>
    <row r="8">
      <c r="A8" s="26" t="s">
        <v>102</v>
      </c>
      <c r="B8" s="27" t="s">
        <v>220</v>
      </c>
      <c r="C8" s="27" t="s">
        <v>221</v>
      </c>
      <c r="D8" s="27" t="s">
        <v>222</v>
      </c>
      <c r="E8" s="27" t="s">
        <v>223</v>
      </c>
      <c r="F8" s="27" t="s">
        <v>224</v>
      </c>
      <c r="G8" s="27" t="s">
        <v>99</v>
      </c>
    </row>
    <row r="9">
      <c r="A9" s="26" t="s">
        <v>102</v>
      </c>
      <c r="B9" s="27"/>
      <c r="C9" s="26"/>
      <c r="D9" s="26"/>
      <c r="E9" s="27"/>
      <c r="F9" s="26"/>
      <c r="G9" s="27"/>
    </row>
    <row r="10">
      <c r="A10" s="26" t="s">
        <v>102</v>
      </c>
      <c r="B10" s="27" t="s">
        <v>133</v>
      </c>
      <c r="C10" s="27" t="s">
        <v>100</v>
      </c>
      <c r="D10" s="27" t="s">
        <v>134</v>
      </c>
      <c r="E10" s="27" t="s">
        <v>135</v>
      </c>
      <c r="F10" s="26"/>
      <c r="G10" s="27" t="s">
        <v>99</v>
      </c>
    </row>
    <row r="11">
      <c r="A11" s="47" t="s">
        <v>102</v>
      </c>
      <c r="B11" s="48" t="s">
        <v>156</v>
      </c>
      <c r="C11" s="48" t="s">
        <v>157</v>
      </c>
      <c r="D11" s="48" t="s">
        <v>158</v>
      </c>
      <c r="E11" s="48" t="s">
        <v>159</v>
      </c>
      <c r="F11" s="49"/>
      <c r="G11" s="48" t="s">
        <v>99</v>
      </c>
      <c r="H11" s="50" t="s">
        <v>225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26" t="s">
        <v>102</v>
      </c>
      <c r="B12" s="27" t="s">
        <v>226</v>
      </c>
      <c r="C12" s="26"/>
      <c r="D12" s="27" t="s">
        <v>184</v>
      </c>
      <c r="E12" s="27" t="s">
        <v>227</v>
      </c>
      <c r="F12" s="26"/>
      <c r="G12" s="27" t="s">
        <v>228</v>
      </c>
    </row>
    <row r="13">
      <c r="A13" s="26" t="s">
        <v>102</v>
      </c>
      <c r="B13" s="27" t="s">
        <v>229</v>
      </c>
      <c r="C13" s="26"/>
      <c r="D13" s="27" t="s">
        <v>184</v>
      </c>
      <c r="E13" s="27" t="s">
        <v>230</v>
      </c>
      <c r="F13" s="26"/>
      <c r="G13" s="27" t="s">
        <v>231</v>
      </c>
    </row>
    <row r="14">
      <c r="A14" s="26" t="s">
        <v>102</v>
      </c>
      <c r="B14" s="26"/>
      <c r="C14" s="26"/>
      <c r="D14" s="26"/>
      <c r="E14" s="26"/>
      <c r="F14" s="26"/>
      <c r="G14" s="26"/>
    </row>
    <row r="15">
      <c r="A15" s="26" t="s">
        <v>102</v>
      </c>
      <c r="B15" s="26"/>
      <c r="C15" s="26"/>
      <c r="D15" s="26"/>
      <c r="E15" s="26"/>
      <c r="F15" s="26"/>
      <c r="G15" s="26"/>
    </row>
    <row r="16">
      <c r="A16" s="26" t="s">
        <v>102</v>
      </c>
      <c r="B16" s="26"/>
      <c r="C16" s="26"/>
      <c r="D16" s="26"/>
      <c r="E16" s="26"/>
      <c r="F16" s="26"/>
      <c r="G16" s="26"/>
    </row>
    <row r="17">
      <c r="A17" s="26" t="s">
        <v>102</v>
      </c>
      <c r="B17" s="26"/>
      <c r="C17" s="26"/>
      <c r="D17" s="26"/>
      <c r="E17" s="26"/>
      <c r="F17" s="26"/>
      <c r="G17" s="26"/>
    </row>
    <row r="19">
      <c r="A19" s="12" t="s">
        <v>160</v>
      </c>
      <c r="B19" s="12">
        <f>COUNTA(B6:B17)-COUNTBLANK(B6:B17)</f>
        <v>2</v>
      </c>
      <c r="E19" s="21" t="s">
        <v>161</v>
      </c>
    </row>
    <row r="21" ht="15.75" customHeight="1"/>
    <row r="22" ht="15.75" customHeight="1"/>
    <row r="23" ht="15.75" customHeight="1">
      <c r="A23" s="36" t="s">
        <v>163</v>
      </c>
    </row>
    <row r="24" ht="15.75" customHeight="1">
      <c r="A24" s="37" t="s">
        <v>164</v>
      </c>
    </row>
    <row r="25" ht="15.75" customHeight="1">
      <c r="A25" s="37" t="s">
        <v>165</v>
      </c>
    </row>
    <row r="26" ht="15.75" customHeight="1">
      <c r="A26" s="37" t="s">
        <v>166</v>
      </c>
    </row>
    <row r="27" ht="15.75" customHeight="1">
      <c r="A27" s="37" t="s">
        <v>167</v>
      </c>
    </row>
    <row r="28" ht="15.75" customHeight="1">
      <c r="A28" s="37" t="s">
        <v>168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7:G27"/>
    <mergeCell ref="A28:G28"/>
    <mergeCell ref="A1:G1"/>
    <mergeCell ref="A2:G2"/>
    <mergeCell ref="A3:G3"/>
    <mergeCell ref="A23:G23"/>
    <mergeCell ref="A24:G24"/>
    <mergeCell ref="A25:G25"/>
    <mergeCell ref="A26:G2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4.0"/>
    <col customWidth="1" min="4" max="4" width="28.0"/>
    <col customWidth="1" min="5" max="5" width="37.86"/>
    <col customWidth="1" min="6" max="6" width="40.0"/>
    <col customWidth="1" min="7" max="7" width="18.0"/>
    <col customWidth="1" min="8" max="26" width="8.71"/>
  </cols>
  <sheetData>
    <row r="1">
      <c r="A1" s="22" t="s">
        <v>232</v>
      </c>
    </row>
    <row r="2">
      <c r="A2" s="23" t="s">
        <v>233</v>
      </c>
    </row>
    <row r="3">
      <c r="A3" s="24" t="s">
        <v>234</v>
      </c>
    </row>
    <row r="4">
      <c r="A4" s="42" t="s">
        <v>235</v>
      </c>
    </row>
    <row r="5">
      <c r="A5" s="5" t="s">
        <v>35</v>
      </c>
      <c r="B5" s="5" t="s">
        <v>34</v>
      </c>
      <c r="C5" s="5" t="s">
        <v>94</v>
      </c>
      <c r="D5" s="5" t="s">
        <v>60</v>
      </c>
      <c r="E5" s="5" t="s">
        <v>61</v>
      </c>
      <c r="F5" s="5" t="s">
        <v>95</v>
      </c>
      <c r="G5" s="5" t="s">
        <v>96</v>
      </c>
      <c r="H5" s="28" t="s">
        <v>217</v>
      </c>
    </row>
    <row r="6">
      <c r="A6" s="25" t="s">
        <v>97</v>
      </c>
      <c r="B6" s="25" t="s">
        <v>29</v>
      </c>
      <c r="C6" s="25"/>
      <c r="D6" s="25"/>
      <c r="E6" s="25"/>
      <c r="F6" s="25" t="s">
        <v>236</v>
      </c>
      <c r="G6" s="25" t="s">
        <v>99</v>
      </c>
    </row>
    <row r="7">
      <c r="A7" s="25" t="s">
        <v>97</v>
      </c>
      <c r="B7" s="25" t="s">
        <v>30</v>
      </c>
      <c r="C7" s="25"/>
      <c r="D7" s="25"/>
      <c r="E7" s="25"/>
      <c r="F7" s="25"/>
      <c r="G7" s="25" t="s">
        <v>99</v>
      </c>
    </row>
    <row r="8">
      <c r="A8" s="27" t="s">
        <v>97</v>
      </c>
      <c r="B8" s="27" t="s">
        <v>237</v>
      </c>
      <c r="C8" s="26"/>
      <c r="D8" s="26"/>
      <c r="E8" s="27" t="s">
        <v>238</v>
      </c>
      <c r="F8" s="26"/>
      <c r="G8" s="27" t="s">
        <v>99</v>
      </c>
    </row>
    <row r="9">
      <c r="A9" s="29" t="s">
        <v>102</v>
      </c>
      <c r="B9" s="30" t="s">
        <v>122</v>
      </c>
      <c r="C9" s="30" t="s">
        <v>119</v>
      </c>
      <c r="D9" s="30" t="s">
        <v>123</v>
      </c>
      <c r="E9" s="30" t="s">
        <v>124</v>
      </c>
      <c r="F9" s="29"/>
      <c r="G9" s="30" t="s">
        <v>99</v>
      </c>
      <c r="H9" s="31" t="s">
        <v>125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29" t="s">
        <v>102</v>
      </c>
      <c r="B10" s="30" t="s">
        <v>133</v>
      </c>
      <c r="C10" s="30" t="s">
        <v>100</v>
      </c>
      <c r="D10" s="30" t="s">
        <v>134</v>
      </c>
      <c r="E10" s="30" t="s">
        <v>135</v>
      </c>
      <c r="F10" s="29"/>
      <c r="G10" s="30" t="s">
        <v>99</v>
      </c>
      <c r="H10" s="31" t="s">
        <v>125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29" t="s">
        <v>102</v>
      </c>
      <c r="B11" s="30" t="s">
        <v>140</v>
      </c>
      <c r="C11" s="30" t="s">
        <v>100</v>
      </c>
      <c r="D11" s="30" t="s">
        <v>141</v>
      </c>
      <c r="E11" s="30" t="s">
        <v>142</v>
      </c>
      <c r="F11" s="33" t="s">
        <v>143</v>
      </c>
      <c r="G11" s="30" t="s">
        <v>99</v>
      </c>
      <c r="H11" s="31" t="s">
        <v>125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26" t="s">
        <v>102</v>
      </c>
      <c r="B12" s="52" t="s">
        <v>239</v>
      </c>
      <c r="C12" s="52" t="s">
        <v>240</v>
      </c>
      <c r="D12" s="52" t="s">
        <v>241</v>
      </c>
      <c r="E12" s="53" t="s">
        <v>242</v>
      </c>
      <c r="F12" s="26"/>
      <c r="G12" s="27" t="s">
        <v>99</v>
      </c>
    </row>
    <row r="13">
      <c r="A13" s="26" t="s">
        <v>102</v>
      </c>
      <c r="B13" s="52" t="s">
        <v>243</v>
      </c>
      <c r="C13" s="26"/>
      <c r="D13" s="52"/>
      <c r="E13" s="54"/>
      <c r="F13" s="26"/>
      <c r="G13" s="26"/>
    </row>
    <row r="14">
      <c r="A14" s="26" t="s">
        <v>102</v>
      </c>
      <c r="B14" s="55" t="s">
        <v>244</v>
      </c>
      <c r="C14" s="26"/>
      <c r="D14" s="55" t="s">
        <v>245</v>
      </c>
      <c r="E14" s="56" t="s">
        <v>246</v>
      </c>
      <c r="F14" s="26"/>
      <c r="G14" s="26"/>
    </row>
    <row r="15">
      <c r="A15" s="29" t="s">
        <v>102</v>
      </c>
      <c r="B15" s="57" t="s">
        <v>247</v>
      </c>
      <c r="C15" s="58"/>
      <c r="D15" s="57" t="s">
        <v>248</v>
      </c>
      <c r="E15" s="59" t="s">
        <v>249</v>
      </c>
      <c r="F15" s="29"/>
      <c r="G15" s="29"/>
      <c r="H15" s="31" t="s">
        <v>125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26" t="s">
        <v>102</v>
      </c>
      <c r="B16" s="27" t="s">
        <v>250</v>
      </c>
      <c r="C16" s="26"/>
      <c r="D16" s="26"/>
      <c r="E16" s="26"/>
      <c r="F16" s="26"/>
      <c r="G16" s="26"/>
    </row>
    <row r="17">
      <c r="A17" s="26" t="s">
        <v>102</v>
      </c>
      <c r="B17" s="27" t="s">
        <v>251</v>
      </c>
      <c r="C17" s="26"/>
      <c r="D17" s="26"/>
      <c r="E17" s="26"/>
      <c r="F17" s="26"/>
      <c r="G17" s="26"/>
    </row>
    <row r="18">
      <c r="A18" s="55" t="s">
        <v>102</v>
      </c>
      <c r="B18" s="55" t="s">
        <v>252</v>
      </c>
      <c r="C18" s="60"/>
      <c r="D18" s="60"/>
      <c r="E18" s="60"/>
      <c r="F18" s="60"/>
      <c r="G18" s="60"/>
    </row>
    <row r="19">
      <c r="A19" s="55" t="s">
        <v>102</v>
      </c>
      <c r="B19" s="55" t="s">
        <v>253</v>
      </c>
      <c r="C19" s="60"/>
      <c r="D19" s="60"/>
      <c r="E19" s="60"/>
      <c r="F19" s="60"/>
      <c r="G19" s="60"/>
    </row>
    <row r="20">
      <c r="A20" s="57" t="s">
        <v>102</v>
      </c>
      <c r="B20" s="30" t="s">
        <v>156</v>
      </c>
      <c r="C20" s="30" t="s">
        <v>157</v>
      </c>
      <c r="D20" s="30" t="s">
        <v>158</v>
      </c>
      <c r="E20" s="30" t="s">
        <v>159</v>
      </c>
      <c r="F20" s="34"/>
      <c r="G20" s="30" t="s">
        <v>99</v>
      </c>
      <c r="H20" s="31" t="s">
        <v>125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55" t="s">
        <v>102</v>
      </c>
      <c r="B21" s="27" t="s">
        <v>254</v>
      </c>
      <c r="C21" s="27" t="s">
        <v>255</v>
      </c>
      <c r="D21" s="27" t="s">
        <v>256</v>
      </c>
      <c r="E21" s="27" t="s">
        <v>257</v>
      </c>
      <c r="F21" s="35"/>
      <c r="G21" s="27" t="s">
        <v>99</v>
      </c>
      <c r="H21" s="28" t="s">
        <v>258</v>
      </c>
    </row>
    <row r="25">
      <c r="A25" s="12" t="s">
        <v>160</v>
      </c>
      <c r="B25" s="12">
        <f>COUNTA(B6:B17)-COUNTBLANK(B6:B17)</f>
        <v>12</v>
      </c>
      <c r="E25" s="21" t="s">
        <v>161</v>
      </c>
    </row>
    <row r="27" ht="15.75" customHeight="1">
      <c r="A27" s="23" t="s">
        <v>259</v>
      </c>
    </row>
    <row r="28" ht="15.75" customHeight="1"/>
    <row r="29" ht="15.75" customHeight="1">
      <c r="A29" s="36" t="s">
        <v>163</v>
      </c>
    </row>
    <row r="30" ht="15.75" customHeight="1">
      <c r="A30" s="37" t="s">
        <v>164</v>
      </c>
    </row>
    <row r="31" ht="15.75" customHeight="1">
      <c r="A31" s="37" t="s">
        <v>165</v>
      </c>
    </row>
    <row r="32" ht="15.75" customHeight="1">
      <c r="A32" s="37" t="s">
        <v>166</v>
      </c>
    </row>
    <row r="33" ht="15.75" customHeight="1">
      <c r="A33" s="37" t="s">
        <v>167</v>
      </c>
    </row>
    <row r="34" ht="15.75" customHeight="1">
      <c r="A34" s="37" t="s">
        <v>168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0">
    <mergeCell ref="A32:G32"/>
    <mergeCell ref="A33:G33"/>
    <mergeCell ref="A34:G34"/>
    <mergeCell ref="A1:G1"/>
    <mergeCell ref="A2:G2"/>
    <mergeCell ref="A3:G3"/>
    <mergeCell ref="A27:G27"/>
    <mergeCell ref="A29:G29"/>
    <mergeCell ref="A30:G30"/>
    <mergeCell ref="A31:G31"/>
  </mergeCells>
  <hyperlinks>
    <hyperlink r:id="rId1" ref="E12"/>
    <hyperlink r:id="rId2" ref="E14"/>
    <hyperlink r:id="rId3" ref="E15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2026-04-06T01:01:36Z</dcterms:created>
  <dc:creator>openpyxl</dc:creator>
</cp:coreProperties>
</file>